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Excel DIO\"/>
    </mc:Choice>
  </mc:AlternateContent>
  <xr:revisionPtr revIDLastSave="0" documentId="8_{7C06D999-883A-4B64-96DC-48128979672C}" xr6:coauthVersionLast="47" xr6:coauthVersionMax="47" xr10:uidLastSave="{00000000-0000-0000-0000-000000000000}"/>
  <bookViews>
    <workbookView xWindow="-120" yWindow="-120" windowWidth="29040" windowHeight="15840" tabRatio="850" xr2:uid="{1934B038-0D1A-48CD-96D6-0096BAE237C2}"/>
  </bookViews>
  <sheets>
    <sheet name="Ferramenta de Renda Fixa" sheetId="3" r:id="rId1"/>
    <sheet name="Ferramenta" sheetId="1" r:id="rId2"/>
    <sheet name="Planilha de Apoio" sheetId="2" r:id="rId3"/>
  </sheets>
  <definedNames>
    <definedName name="Aporte" localSheetId="0">'Ferramenta de Renda Fixa'!$D$10</definedName>
    <definedName name="Aporte">Ferramenta!$D$9</definedName>
    <definedName name="Dividendos_Mensais" localSheetId="0">'Ferramenta de Renda Fixa'!$D$14</definedName>
    <definedName name="Dividendos_Mensais">Ferramenta!$D$13</definedName>
    <definedName name="Patrimonio" localSheetId="0">'Ferramenta de Renda Fixa'!$D$13</definedName>
    <definedName name="Patrimonio">Ferramenta!$D$12</definedName>
    <definedName name="Rendimento_Carteira" localSheetId="0">'Ferramenta de Renda Fixa'!$D$5</definedName>
    <definedName name="Rendimento_Carteira">Ferramenta!$D$5</definedName>
    <definedName name="Salario" localSheetId="0">'Ferramenta de Renda Fixa'!$D$4</definedName>
    <definedName name="Salario">Ferramenta!$D$4</definedName>
    <definedName name="Sugestao_Investimento" localSheetId="0">'Ferramenta de Renda Fixa'!$D$6</definedName>
    <definedName name="Sugestao_Investimento">Ferramenta!$D$6</definedName>
    <definedName name="Taxa_Rendimento_Anual" localSheetId="0">'Ferramenta de Renda Fixa'!$D$12</definedName>
    <definedName name="Taxa_Rendimento_Anual">Ferramenta!$D$11</definedName>
    <definedName name="Tempo" localSheetId="0">'Ferramenta de Renda Fixa'!$D$11</definedName>
    <definedName name="Tempo">Ferramenta!$D$10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3" l="1"/>
  <c r="D31" i="3"/>
  <c r="C30" i="3"/>
  <c r="I23" i="2"/>
  <c r="B23" i="2"/>
  <c r="B34" i="2"/>
  <c r="B33" i="2"/>
  <c r="B32" i="2"/>
  <c r="B31" i="2"/>
  <c r="B30" i="2"/>
  <c r="B29" i="2"/>
  <c r="B28" i="2"/>
  <c r="B27" i="2"/>
  <c r="B26" i="2"/>
  <c r="B25" i="2"/>
  <c r="B24" i="2"/>
  <c r="C17" i="3"/>
  <c r="D12" i="3"/>
  <c r="C20" i="3" s="1"/>
  <c r="D20" i="3" s="1"/>
  <c r="C18" i="3"/>
  <c r="D18" i="3" s="1"/>
  <c r="C19" i="3"/>
  <c r="D19" i="3" s="1"/>
  <c r="D17" i="3"/>
  <c r="D13" i="3"/>
  <c r="D14" i="3" s="1"/>
  <c r="D24" i="3"/>
  <c r="D12" i="1"/>
  <c r="D13" i="1" s="1"/>
  <c r="B14" i="2"/>
  <c r="B10" i="2"/>
  <c r="B11" i="2"/>
  <c r="B12" i="2"/>
  <c r="B13" i="2"/>
  <c r="B9" i="2"/>
  <c r="B16" i="2"/>
  <c r="B17" i="2"/>
  <c r="B18" i="2"/>
  <c r="B19" i="2"/>
  <c r="B20" i="2"/>
  <c r="B15" i="2"/>
  <c r="B4" i="2"/>
  <c r="C28" i="1" s="1"/>
  <c r="B5" i="2"/>
  <c r="B6" i="2"/>
  <c r="B7" i="2"/>
  <c r="B8" i="2"/>
  <c r="B3" i="2"/>
  <c r="C27" i="1" s="1"/>
  <c r="D6" i="1"/>
  <c r="C18" i="1"/>
  <c r="D18" i="1" s="1"/>
  <c r="C16" i="1"/>
  <c r="D16" i="1" s="1"/>
  <c r="C17" i="1"/>
  <c r="D17" i="1" s="1"/>
  <c r="D30" i="3" l="1"/>
  <c r="C29" i="3"/>
  <c r="D29" i="3" s="1"/>
  <c r="C28" i="3"/>
  <c r="D28" i="3" s="1"/>
  <c r="C27" i="3"/>
  <c r="D27" i="3" s="1"/>
  <c r="C21" i="3"/>
  <c r="D21" i="3" s="1"/>
  <c r="C20" i="1"/>
  <c r="D20" i="1" s="1"/>
  <c r="D23" i="1"/>
  <c r="D27" i="1" s="1"/>
  <c r="C19" i="1"/>
  <c r="D19" i="1" s="1"/>
  <c r="C30" i="1"/>
  <c r="I3" i="2"/>
  <c r="C29" i="1"/>
  <c r="D29" i="1" s="1"/>
  <c r="C26" i="1"/>
  <c r="C31" i="1"/>
  <c r="D26" i="1" l="1"/>
  <c r="D28" i="1"/>
  <c r="D31" i="1"/>
  <c r="D30" i="1"/>
  <c r="D32" i="1" l="1"/>
</calcChain>
</file>

<file path=xl/sharedStrings.xml><?xml version="1.0" encoding="utf-8"?>
<sst xmlns="http://schemas.openxmlformats.org/spreadsheetml/2006/main" count="131" uniqueCount="45">
  <si>
    <t>Quanto investir por mês ?</t>
  </si>
  <si>
    <t>Por Quantos Anos ?</t>
  </si>
  <si>
    <t>Dividendos Mensais ?</t>
  </si>
  <si>
    <t>Taxa de Rendimento Anual</t>
  </si>
  <si>
    <t>Patrimônio Acumulado ?</t>
  </si>
  <si>
    <t>Investimento Anual em 2 anos</t>
  </si>
  <si>
    <t>Investimento Anual em 5 anos</t>
  </si>
  <si>
    <t>Investimento Anual em 10 anos</t>
  </si>
  <si>
    <t>Investimento Anual em 15 anos</t>
  </si>
  <si>
    <t>Investimento Anual em 20 anos</t>
  </si>
  <si>
    <t>DIVIDENDOS</t>
  </si>
  <si>
    <t>Salário</t>
  </si>
  <si>
    <t>Rentabilidade da Carteira</t>
  </si>
  <si>
    <t>CENÁRIOS</t>
  </si>
  <si>
    <t>INVESTIMENTOS MENSAIS</t>
  </si>
  <si>
    <t>CONFIGURAÇÕES</t>
  </si>
  <si>
    <t>PERFIL</t>
  </si>
  <si>
    <t>Conservador</t>
  </si>
  <si>
    <t>Valor a ser Investido por Mês</t>
  </si>
  <si>
    <t>TIPO DE FII</t>
  </si>
  <si>
    <t>PERCENTUAL</t>
  </si>
  <si>
    <t>VALORES</t>
  </si>
  <si>
    <t>PAPEL</t>
  </si>
  <si>
    <t>TIJOLO</t>
  </si>
  <si>
    <t>HIBRIDOS</t>
  </si>
  <si>
    <t>FOF</t>
  </si>
  <si>
    <t>HOTELARIAS</t>
  </si>
  <si>
    <t>TOTAL</t>
  </si>
  <si>
    <t>CHAVE</t>
  </si>
  <si>
    <t>CONSERVADOR</t>
  </si>
  <si>
    <t>MODERADO</t>
  </si>
  <si>
    <t>AGRESSIVO</t>
  </si>
  <si>
    <t>DESENVOLVIMENTO</t>
  </si>
  <si>
    <t>Moderado-Tijolo</t>
  </si>
  <si>
    <t>%</t>
  </si>
  <si>
    <t>Sugestão de Investimentos (30%)</t>
  </si>
  <si>
    <t>Agressivo</t>
  </si>
  <si>
    <t>Taxa de Juros Anual</t>
  </si>
  <si>
    <t>Taxa de Rentabilidade Mensal</t>
  </si>
  <si>
    <t>TIPO DE RENDA FIXA</t>
  </si>
  <si>
    <t>CDB</t>
  </si>
  <si>
    <t>LCI</t>
  </si>
  <si>
    <t>LCA</t>
  </si>
  <si>
    <t>SELIC</t>
  </si>
  <si>
    <t>AGRESSIVO-SELIC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</si>
</sst>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7" formatCode="_-&quot;R$&quot;\ * #,##0.00_-;\-&quot;R$&quot;\ * #,##0.00_-;_-&quot;R$&quot;\ * &quot;-&quot;??_-;_-@_-"/>
    <numFmt numFmtId="169" formatCode="&quot;R$&quot;\ #,##0.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0"/>
      <name val="Bahnschrift Light SemiCondensed"/>
      <family val="2"/>
    </font>
    <font>
      <b/>
      <sz val="20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  <font>
      <sz val="12"/>
      <color theme="0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6"/>
      <color theme="0"/>
      <name val="Segoe UI Semibold"/>
      <family val="2"/>
    </font>
    <font>
      <sz val="16"/>
      <color theme="0"/>
      <name val="Segoe UI Semibold"/>
      <family val="2"/>
    </font>
    <font>
      <sz val="12"/>
      <color theme="0"/>
      <name val="Segoe UI"/>
      <family val="2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56D6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/>
      <top/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/>
      <top style="medium">
        <color theme="0" tint="-0.24994659260841701"/>
      </top>
      <bottom/>
      <diagonal/>
    </border>
    <border>
      <left style="medium">
        <color indexed="64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/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 style="medium">
        <color indexed="64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medium">
        <color indexed="64"/>
      </bottom>
      <diagonal/>
    </border>
    <border>
      <left style="medium">
        <color theme="0" tint="-0.24994659260841701"/>
      </left>
      <right style="medium">
        <color indexed="64"/>
      </right>
      <top/>
      <bottom style="medium">
        <color indexed="64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indexed="64"/>
      </bottom>
      <diagonal/>
    </border>
    <border>
      <left/>
      <right style="medium">
        <color theme="0" tint="-0.24994659260841701"/>
      </right>
      <top/>
      <bottom/>
      <diagonal/>
    </border>
    <border>
      <left/>
      <right style="medium">
        <color theme="0" tint="-0.24994659260841701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medium">
        <color theme="0" tint="-0.24994659260841701"/>
      </bottom>
      <diagonal/>
    </border>
    <border>
      <left style="medium">
        <color indexed="64"/>
      </left>
      <right/>
      <top style="medium">
        <color theme="0" tint="-0.24994659260841701"/>
      </top>
      <bottom style="medium">
        <color indexed="64"/>
      </bottom>
      <diagonal/>
    </border>
    <border>
      <left/>
      <right/>
      <top/>
      <bottom style="medium">
        <color theme="0" tint="-0.24994659260841701"/>
      </bottom>
      <diagonal/>
    </border>
    <border>
      <left/>
      <right/>
      <top style="medium">
        <color indexed="64"/>
      </top>
      <bottom style="medium">
        <color theme="0" tint="-0.24994659260841701"/>
      </bottom>
      <diagonal/>
    </border>
    <border>
      <left style="medium">
        <color theme="0" tint="-0.24994659260841701"/>
      </left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medium">
        <color indexed="64"/>
      </bottom>
      <diagonal/>
    </border>
    <border>
      <left/>
      <right style="thin">
        <color theme="0" tint="-0.499984740745262"/>
      </right>
      <top/>
      <bottom style="medium">
        <color indexed="64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indexed="64"/>
      </bottom>
      <diagonal/>
    </border>
    <border>
      <left/>
      <right/>
      <top style="medium">
        <color theme="0" tint="-0.24994659260841701"/>
      </top>
      <bottom/>
      <diagonal/>
    </border>
    <border>
      <left style="medium">
        <color theme="0" tint="-0.24994659260841701"/>
      </left>
      <right/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130">
    <xf numFmtId="0" fontId="0" fillId="0" borderId="0" xfId="0"/>
    <xf numFmtId="0" fontId="2" fillId="2" borderId="0" xfId="0" applyFont="1" applyFill="1"/>
    <xf numFmtId="0" fontId="3" fillId="3" borderId="0" xfId="0" applyFont="1" applyFill="1" applyAlignment="1">
      <alignment horizontal="center"/>
    </xf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6" borderId="2" xfId="0" applyFont="1" applyFill="1" applyBorder="1"/>
    <xf numFmtId="0" fontId="10" fillId="0" borderId="0" xfId="0" applyFont="1"/>
    <xf numFmtId="0" fontId="4" fillId="3" borderId="1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12" fillId="6" borderId="22" xfId="0" applyFont="1" applyFill="1" applyBorder="1" applyAlignment="1">
      <alignment horizontal="center"/>
    </xf>
    <xf numFmtId="0" fontId="12" fillId="6" borderId="26" xfId="0" applyFont="1" applyFill="1" applyBorder="1" applyAlignment="1">
      <alignment horizontal="center"/>
    </xf>
    <xf numFmtId="0" fontId="12" fillId="6" borderId="23" xfId="0" applyFont="1" applyFill="1" applyBorder="1" applyAlignment="1">
      <alignment horizontal="center"/>
    </xf>
    <xf numFmtId="0" fontId="5" fillId="0" borderId="12" xfId="0" applyFont="1" applyBorder="1" applyAlignment="1">
      <alignment horizontal="left" indent="7"/>
    </xf>
    <xf numFmtId="0" fontId="5" fillId="0" borderId="18" xfId="0" applyFont="1" applyBorder="1" applyAlignment="1">
      <alignment horizontal="left" indent="7"/>
    </xf>
    <xf numFmtId="169" fontId="6" fillId="4" borderId="13" xfId="0" applyNumberFormat="1" applyFont="1" applyFill="1" applyBorder="1" applyAlignment="1">
      <alignment horizontal="center"/>
    </xf>
    <xf numFmtId="0" fontId="5" fillId="0" borderId="14" xfId="0" applyFont="1" applyBorder="1" applyAlignment="1">
      <alignment horizontal="left" indent="7"/>
    </xf>
    <xf numFmtId="0" fontId="5" fillId="0" borderId="19" xfId="0" applyFont="1" applyBorder="1" applyAlignment="1">
      <alignment horizontal="left" indent="7"/>
    </xf>
    <xf numFmtId="169" fontId="6" fillId="4" borderId="15" xfId="0" applyNumberFormat="1" applyFont="1" applyFill="1" applyBorder="1" applyAlignment="1">
      <alignment horizontal="center"/>
    </xf>
    <xf numFmtId="0" fontId="5" fillId="0" borderId="10" xfId="0" applyFont="1" applyBorder="1" applyAlignment="1">
      <alignment horizontal="left" indent="7"/>
    </xf>
    <xf numFmtId="0" fontId="5" fillId="0" borderId="17" xfId="0" applyFont="1" applyBorder="1" applyAlignment="1">
      <alignment horizontal="left" indent="7"/>
    </xf>
    <xf numFmtId="169" fontId="7" fillId="0" borderId="11" xfId="0" applyNumberFormat="1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10" fontId="7" fillId="0" borderId="13" xfId="0" applyNumberFormat="1" applyFont="1" applyBorder="1" applyAlignment="1">
      <alignment horizontal="center"/>
    </xf>
    <xf numFmtId="0" fontId="8" fillId="4" borderId="12" xfId="0" applyFont="1" applyFill="1" applyBorder="1" applyAlignment="1">
      <alignment horizontal="left" indent="7"/>
    </xf>
    <xf numFmtId="0" fontId="8" fillId="4" borderId="18" xfId="0" applyFont="1" applyFill="1" applyBorder="1" applyAlignment="1">
      <alignment horizontal="left" indent="7"/>
    </xf>
    <xf numFmtId="8" fontId="7" fillId="4" borderId="13" xfId="0" applyNumberFormat="1" applyFont="1" applyFill="1" applyBorder="1" applyAlignment="1">
      <alignment horizontal="center"/>
    </xf>
    <xf numFmtId="0" fontId="8" fillId="4" borderId="14" xfId="0" applyFont="1" applyFill="1" applyBorder="1" applyAlignment="1">
      <alignment horizontal="left" indent="7"/>
    </xf>
    <xf numFmtId="0" fontId="8" fillId="4" borderId="19" xfId="0" applyFont="1" applyFill="1" applyBorder="1" applyAlignment="1">
      <alignment horizontal="left" indent="7"/>
    </xf>
    <xf numFmtId="8" fontId="7" fillId="4" borderId="15" xfId="0" applyNumberFormat="1" applyFont="1" applyFill="1" applyBorder="1" applyAlignment="1">
      <alignment horizontal="center"/>
    </xf>
    <xf numFmtId="0" fontId="5" fillId="0" borderId="10" xfId="0" applyFont="1" applyBorder="1" applyAlignment="1">
      <alignment horizontal="left" indent="7"/>
    </xf>
    <xf numFmtId="8" fontId="6" fillId="4" borderId="17" xfId="0" applyNumberFormat="1" applyFont="1" applyFill="1" applyBorder="1"/>
    <xf numFmtId="8" fontId="6" fillId="4" borderId="11" xfId="0" applyNumberFormat="1" applyFont="1" applyFill="1" applyBorder="1"/>
    <xf numFmtId="0" fontId="5" fillId="0" borderId="12" xfId="0" applyFont="1" applyBorder="1" applyAlignment="1">
      <alignment horizontal="left" indent="7"/>
    </xf>
    <xf numFmtId="8" fontId="6" fillId="4" borderId="18" xfId="0" applyNumberFormat="1" applyFont="1" applyFill="1" applyBorder="1"/>
    <xf numFmtId="8" fontId="6" fillId="4" borderId="13" xfId="0" applyNumberFormat="1" applyFont="1" applyFill="1" applyBorder="1"/>
    <xf numFmtId="0" fontId="5" fillId="0" borderId="14" xfId="0" applyFont="1" applyBorder="1" applyAlignment="1">
      <alignment horizontal="left" indent="7"/>
    </xf>
    <xf numFmtId="8" fontId="6" fillId="4" borderId="19" xfId="0" applyNumberFormat="1" applyFont="1" applyFill="1" applyBorder="1"/>
    <xf numFmtId="8" fontId="6" fillId="4" borderId="15" xfId="0" applyNumberFormat="1" applyFont="1" applyFill="1" applyBorder="1"/>
    <xf numFmtId="10" fontId="6" fillId="0" borderId="13" xfId="0" applyNumberFormat="1" applyFont="1" applyFill="1" applyBorder="1" applyAlignment="1">
      <alignment horizontal="center"/>
    </xf>
    <xf numFmtId="169" fontId="6" fillId="0" borderId="13" xfId="0" applyNumberFormat="1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/>
    </xf>
    <xf numFmtId="0" fontId="11" fillId="6" borderId="3" xfId="0" applyFont="1" applyFill="1" applyBorder="1" applyAlignment="1">
      <alignment horizontal="center"/>
    </xf>
    <xf numFmtId="0" fontId="11" fillId="6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left" indent="7"/>
    </xf>
    <xf numFmtId="0" fontId="9" fillId="3" borderId="1" xfId="0" applyFont="1" applyFill="1" applyBorder="1" applyAlignment="1">
      <alignment horizontal="left" indent="7"/>
    </xf>
    <xf numFmtId="0" fontId="9" fillId="3" borderId="3" xfId="0" applyFont="1" applyFill="1" applyBorder="1" applyAlignment="1">
      <alignment horizontal="left" indent="7"/>
    </xf>
    <xf numFmtId="0" fontId="9" fillId="3" borderId="2" xfId="0" applyFont="1" applyFill="1" applyBorder="1" applyAlignment="1"/>
    <xf numFmtId="0" fontId="5" fillId="0" borderId="5" xfId="0" applyFont="1" applyFill="1" applyBorder="1" applyAlignment="1">
      <alignment horizontal="left" indent="7"/>
    </xf>
    <xf numFmtId="0" fontId="5" fillId="0" borderId="21" xfId="0" applyFont="1" applyFill="1" applyBorder="1" applyAlignment="1">
      <alignment horizontal="left" indent="7"/>
    </xf>
    <xf numFmtId="169" fontId="0" fillId="4" borderId="16" xfId="0" applyNumberFormat="1" applyFill="1" applyBorder="1"/>
    <xf numFmtId="0" fontId="0" fillId="0" borderId="0" xfId="0" applyBorder="1"/>
    <xf numFmtId="0" fontId="13" fillId="6" borderId="1" xfId="0" applyFont="1" applyFill="1" applyBorder="1" applyAlignment="1">
      <alignment horizontal="left" indent="7"/>
    </xf>
    <xf numFmtId="0" fontId="2" fillId="6" borderId="3" xfId="0" applyFont="1" applyFill="1" applyBorder="1"/>
    <xf numFmtId="0" fontId="0" fillId="0" borderId="10" xfId="0" applyBorder="1" applyAlignment="1">
      <alignment horizontal="left" indent="7"/>
    </xf>
    <xf numFmtId="0" fontId="0" fillId="0" borderId="12" xfId="0" applyBorder="1" applyAlignment="1">
      <alignment horizontal="left" indent="7"/>
    </xf>
    <xf numFmtId="0" fontId="0" fillId="0" borderId="14" xfId="0" applyBorder="1" applyAlignment="1">
      <alignment horizontal="left" indent="7"/>
    </xf>
    <xf numFmtId="9" fontId="0" fillId="0" borderId="17" xfId="0" applyNumberFormat="1" applyBorder="1"/>
    <xf numFmtId="9" fontId="0" fillId="0" borderId="18" xfId="0" applyNumberFormat="1" applyBorder="1"/>
    <xf numFmtId="9" fontId="0" fillId="0" borderId="19" xfId="0" applyNumberFormat="1" applyBorder="1"/>
    <xf numFmtId="169" fontId="0" fillId="0" borderId="11" xfId="0" applyNumberFormat="1" applyBorder="1"/>
    <xf numFmtId="169" fontId="0" fillId="0" borderId="13" xfId="0" applyNumberFormat="1" applyBorder="1"/>
    <xf numFmtId="169" fontId="0" fillId="0" borderId="15" xfId="0" applyNumberFormat="1" applyBorder="1"/>
    <xf numFmtId="0" fontId="14" fillId="5" borderId="0" xfId="0" applyFont="1" applyFill="1"/>
    <xf numFmtId="169" fontId="14" fillId="5" borderId="0" xfId="0" applyNumberFormat="1" applyFont="1" applyFill="1"/>
    <xf numFmtId="0" fontId="0" fillId="9" borderId="0" xfId="0" applyFill="1" applyBorder="1"/>
    <xf numFmtId="0" fontId="0" fillId="9" borderId="4" xfId="0" applyFill="1" applyBorder="1"/>
    <xf numFmtId="0" fontId="0" fillId="8" borderId="4" xfId="0" applyFill="1" applyBorder="1"/>
    <xf numFmtId="9" fontId="0" fillId="0" borderId="0" xfId="1" applyFont="1"/>
    <xf numFmtId="0" fontId="0" fillId="11" borderId="0" xfId="0" applyFill="1"/>
    <xf numFmtId="0" fontId="0" fillId="7" borderId="28" xfId="0" applyFill="1" applyBorder="1"/>
    <xf numFmtId="0" fontId="0" fillId="7" borderId="29" xfId="0" applyFill="1" applyBorder="1"/>
    <xf numFmtId="0" fontId="0" fillId="7" borderId="30" xfId="0" applyFill="1" applyBorder="1"/>
    <xf numFmtId="0" fontId="0" fillId="9" borderId="31" xfId="0" applyFill="1" applyBorder="1"/>
    <xf numFmtId="9" fontId="0" fillId="9" borderId="32" xfId="0" applyNumberFormat="1" applyFill="1" applyBorder="1"/>
    <xf numFmtId="0" fontId="0" fillId="9" borderId="33" xfId="0" applyFill="1" applyBorder="1"/>
    <xf numFmtId="9" fontId="0" fillId="9" borderId="34" xfId="0" applyNumberFormat="1" applyFill="1" applyBorder="1"/>
    <xf numFmtId="0" fontId="0" fillId="8" borderId="31" xfId="0" applyFill="1" applyBorder="1"/>
    <xf numFmtId="0" fontId="0" fillId="8" borderId="0" xfId="0" applyFill="1" applyBorder="1"/>
    <xf numFmtId="9" fontId="0" fillId="8" borderId="32" xfId="0" applyNumberFormat="1" applyFill="1" applyBorder="1"/>
    <xf numFmtId="0" fontId="0" fillId="8" borderId="33" xfId="0" applyFill="1" applyBorder="1"/>
    <xf numFmtId="9" fontId="0" fillId="8" borderId="34" xfId="0" applyNumberFormat="1" applyFill="1" applyBorder="1"/>
    <xf numFmtId="0" fontId="0" fillId="10" borderId="31" xfId="0" applyFill="1" applyBorder="1"/>
    <xf numFmtId="0" fontId="0" fillId="10" borderId="0" xfId="0" applyFill="1" applyBorder="1"/>
    <xf numFmtId="9" fontId="0" fillId="10" borderId="32" xfId="0" applyNumberFormat="1" applyFill="1" applyBorder="1"/>
    <xf numFmtId="0" fontId="0" fillId="10" borderId="35" xfId="0" applyFill="1" applyBorder="1"/>
    <xf numFmtId="0" fontId="0" fillId="10" borderId="36" xfId="0" applyFill="1" applyBorder="1"/>
    <xf numFmtId="9" fontId="0" fillId="10" borderId="37" xfId="0" applyNumberFormat="1" applyFill="1" applyBorder="1"/>
    <xf numFmtId="0" fontId="4" fillId="12" borderId="1" xfId="0" applyFont="1" applyFill="1" applyBorder="1" applyAlignment="1">
      <alignment horizontal="center"/>
    </xf>
    <xf numFmtId="0" fontId="4" fillId="12" borderId="3" xfId="0" applyFont="1" applyFill="1" applyBorder="1" applyAlignment="1">
      <alignment horizontal="center"/>
    </xf>
    <xf numFmtId="0" fontId="4" fillId="12" borderId="2" xfId="0" applyFont="1" applyFill="1" applyBorder="1" applyAlignment="1">
      <alignment horizontal="center"/>
    </xf>
    <xf numFmtId="0" fontId="11" fillId="12" borderId="1" xfId="0" applyFont="1" applyFill="1" applyBorder="1" applyAlignment="1">
      <alignment horizontal="center"/>
    </xf>
    <xf numFmtId="0" fontId="11" fillId="12" borderId="3" xfId="0" applyFont="1" applyFill="1" applyBorder="1" applyAlignment="1">
      <alignment horizontal="center"/>
    </xf>
    <xf numFmtId="0" fontId="11" fillId="12" borderId="2" xfId="0" applyFont="1" applyFill="1" applyBorder="1" applyAlignment="1">
      <alignment horizontal="center" vertical="center"/>
    </xf>
    <xf numFmtId="0" fontId="9" fillId="12" borderId="2" xfId="0" applyFont="1" applyFill="1" applyBorder="1" applyAlignment="1"/>
    <xf numFmtId="0" fontId="9" fillId="12" borderId="1" xfId="0" applyFont="1" applyFill="1" applyBorder="1" applyAlignment="1">
      <alignment horizontal="left" indent="7"/>
    </xf>
    <xf numFmtId="0" fontId="9" fillId="12" borderId="3" xfId="0" applyFont="1" applyFill="1" applyBorder="1" applyAlignment="1">
      <alignment horizontal="left" indent="7"/>
    </xf>
    <xf numFmtId="0" fontId="2" fillId="12" borderId="3" xfId="0" applyFont="1" applyFill="1" applyBorder="1"/>
    <xf numFmtId="0" fontId="13" fillId="12" borderId="1" xfId="0" applyFont="1" applyFill="1" applyBorder="1" applyAlignment="1">
      <alignment horizontal="left" indent="7"/>
    </xf>
    <xf numFmtId="0" fontId="2" fillId="12" borderId="2" xfId="0" applyFont="1" applyFill="1" applyBorder="1"/>
    <xf numFmtId="0" fontId="3" fillId="12" borderId="0" xfId="0" applyFont="1" applyFill="1" applyAlignment="1">
      <alignment horizontal="center"/>
    </xf>
    <xf numFmtId="0" fontId="0" fillId="0" borderId="0" xfId="0" applyFill="1" applyBorder="1"/>
    <xf numFmtId="0" fontId="12" fillId="12" borderId="1" xfId="0" applyFont="1" applyFill="1" applyBorder="1" applyAlignment="1">
      <alignment horizontal="center"/>
    </xf>
    <xf numFmtId="0" fontId="12" fillId="12" borderId="3" xfId="0" applyFont="1" applyFill="1" applyBorder="1" applyAlignment="1">
      <alignment horizontal="center"/>
    </xf>
    <xf numFmtId="0" fontId="12" fillId="12" borderId="2" xfId="0" applyFont="1" applyFill="1" applyBorder="1" applyAlignment="1">
      <alignment horizontal="center"/>
    </xf>
    <xf numFmtId="169" fontId="6" fillId="0" borderId="11" xfId="0" applyNumberFormat="1" applyFont="1" applyFill="1" applyBorder="1" applyAlignment="1">
      <alignment horizontal="center"/>
    </xf>
    <xf numFmtId="0" fontId="5" fillId="0" borderId="24" xfId="0" applyFont="1" applyBorder="1" applyAlignment="1">
      <alignment horizontal="left" indent="7"/>
    </xf>
    <xf numFmtId="0" fontId="5" fillId="0" borderId="38" xfId="0" applyFont="1" applyBorder="1" applyAlignment="1">
      <alignment horizontal="left" indent="7"/>
    </xf>
    <xf numFmtId="9" fontId="6" fillId="4" borderId="15" xfId="0" applyNumberFormat="1" applyFont="1" applyFill="1" applyBorder="1" applyAlignment="1">
      <alignment horizontal="center"/>
    </xf>
    <xf numFmtId="0" fontId="0" fillId="7" borderId="9" xfId="0" applyFill="1" applyBorder="1"/>
    <xf numFmtId="0" fontId="0" fillId="7" borderId="39" xfId="0" applyFill="1" applyBorder="1"/>
    <xf numFmtId="0" fontId="0" fillId="7" borderId="8" xfId="0" applyFill="1" applyBorder="1"/>
    <xf numFmtId="0" fontId="0" fillId="9" borderId="27" xfId="0" applyFill="1" applyBorder="1"/>
    <xf numFmtId="9" fontId="0" fillId="9" borderId="20" xfId="0" applyNumberFormat="1" applyFill="1" applyBorder="1"/>
    <xf numFmtId="0" fontId="0" fillId="8" borderId="27" xfId="0" applyFill="1" applyBorder="1"/>
    <xf numFmtId="9" fontId="0" fillId="8" borderId="20" xfId="0" applyNumberFormat="1" applyFill="1" applyBorder="1"/>
    <xf numFmtId="0" fontId="0" fillId="10" borderId="27" xfId="0" applyFill="1" applyBorder="1"/>
    <xf numFmtId="9" fontId="0" fillId="10" borderId="20" xfId="0" applyNumberFormat="1" applyFill="1" applyBorder="1"/>
    <xf numFmtId="0" fontId="0" fillId="10" borderId="7" xfId="0" applyFill="1" applyBorder="1"/>
    <xf numFmtId="0" fontId="0" fillId="10" borderId="25" xfId="0" applyFill="1" applyBorder="1"/>
    <xf numFmtId="9" fontId="0" fillId="10" borderId="6" xfId="0" applyNumberFormat="1" applyFill="1" applyBorder="1"/>
    <xf numFmtId="0" fontId="0" fillId="9" borderId="40" xfId="0" applyFill="1" applyBorder="1"/>
    <xf numFmtId="9" fontId="0" fillId="9" borderId="21" xfId="0" applyNumberFormat="1" applyFill="1" applyBorder="1"/>
    <xf numFmtId="0" fontId="0" fillId="8" borderId="40" xfId="0" applyFill="1" applyBorder="1"/>
    <xf numFmtId="9" fontId="0" fillId="8" borderId="21" xfId="1" applyFont="1" applyFill="1" applyBorder="1"/>
    <xf numFmtId="169" fontId="7" fillId="0" borderId="0" xfId="0" applyNumberFormat="1" applyFont="1" applyBorder="1" applyAlignment="1">
      <alignment horizontal="center"/>
    </xf>
    <xf numFmtId="169" fontId="0" fillId="0" borderId="0" xfId="0" applyNumberFormat="1" applyBorder="1"/>
    <xf numFmtId="9" fontId="0" fillId="0" borderId="0" xfId="1" applyFont="1" applyBorder="1"/>
    <xf numFmtId="0" fontId="0" fillId="11" borderId="0" xfId="0" applyFill="1" applyBorder="1"/>
  </cellXfs>
  <cellStyles count="3">
    <cellStyle name="Moeda 2" xfId="2" xr:uid="{53C3F170-E900-44BE-BFC3-3D011A8AE6C8}"/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D0CFD7"/>
      <color rgb="FF006666"/>
      <color rgb="FF156D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'Ferramenta de Renda Fixa'!$C$26</c:f>
              <c:strCache>
                <c:ptCount val="1"/>
                <c:pt idx="0">
                  <c:v>PERCENTUAL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'Ferramenta de Renda Fixa'!$B$27:$B$30</c:f>
              <c:strCache>
                <c:ptCount val="4"/>
                <c:pt idx="0">
                  <c:v>CDB</c:v>
                </c:pt>
                <c:pt idx="1">
                  <c:v>LCI</c:v>
                </c:pt>
                <c:pt idx="2">
                  <c:v>LCA</c:v>
                </c:pt>
                <c:pt idx="3">
                  <c:v>SELIC</c:v>
                </c:pt>
              </c:strCache>
            </c:strRef>
          </c:cat>
          <c:val>
            <c:numRef>
              <c:f>'Ferramenta de Renda Fixa'!$C$27:$C$30</c:f>
              <c:numCache>
                <c:formatCode>0%</c:formatCode>
                <c:ptCount val="4"/>
                <c:pt idx="0">
                  <c:v>0.35</c:v>
                </c:pt>
                <c:pt idx="1">
                  <c:v>0.3</c:v>
                </c:pt>
                <c:pt idx="2">
                  <c:v>0.3</c:v>
                </c:pt>
                <c:pt idx="3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23-4552-A687-47C5D0FD76F0}"/>
            </c:ext>
          </c:extLst>
        </c:ser>
        <c:ser>
          <c:idx val="1"/>
          <c:order val="1"/>
          <c:tx>
            <c:strRef>
              <c:f>'Ferramenta de Renda Fixa'!$D$26</c:f>
              <c:strCache>
                <c:ptCount val="1"/>
                <c:pt idx="0">
                  <c:v>VALORES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'Ferramenta de Renda Fixa'!$B$27:$B$30</c:f>
              <c:strCache>
                <c:ptCount val="4"/>
                <c:pt idx="0">
                  <c:v>CDB</c:v>
                </c:pt>
                <c:pt idx="1">
                  <c:v>LCI</c:v>
                </c:pt>
                <c:pt idx="2">
                  <c:v>LCA</c:v>
                </c:pt>
                <c:pt idx="3">
                  <c:v>SELIC</c:v>
                </c:pt>
              </c:strCache>
            </c:strRef>
          </c:cat>
          <c:val>
            <c:numRef>
              <c:f>'Ferramenta de Renda Fixa'!$D$27:$D$30</c:f>
              <c:numCache>
                <c:formatCode>"R$"\ #,##0.00</c:formatCode>
                <c:ptCount val="4"/>
                <c:pt idx="0">
                  <c:v>70</c:v>
                </c:pt>
                <c:pt idx="1">
                  <c:v>60</c:v>
                </c:pt>
                <c:pt idx="2">
                  <c:v>60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23-4552-A687-47C5D0FD7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Ferramenta!$B$26:$B$31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Ferramenta!$C$26:$C$31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E8-46FA-A6B5-E5B911CD4828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Ferramenta!$B$26:$B$31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Ferramenta!$D$26:$D$31</c:f>
              <c:numCache>
                <c:formatCode>"R$"\ #,##0.00</c:formatCode>
                <c:ptCount val="6"/>
                <c:pt idx="0">
                  <c:v>101.38199999999999</c:v>
                </c:pt>
                <c:pt idx="1">
                  <c:v>168.97</c:v>
                </c:pt>
                <c:pt idx="2">
                  <c:v>33.794000000000004</c:v>
                </c:pt>
                <c:pt idx="3">
                  <c:v>33.794000000000004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E8-46FA-A6B5-E5B911CD4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152400</xdr:rowOff>
    </xdr:from>
    <xdr:to>
      <xdr:col>7</xdr:col>
      <xdr:colOff>0</xdr:colOff>
      <xdr:row>0</xdr:row>
      <xdr:rowOff>1743075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ED2AB77D-C5CF-4C5C-8385-CA3764A2723F}"/>
            </a:ext>
          </a:extLst>
        </xdr:cNvPr>
        <xdr:cNvSpPr/>
      </xdr:nvSpPr>
      <xdr:spPr>
        <a:xfrm>
          <a:off x="85725" y="152400"/>
          <a:ext cx="7134225" cy="1590675"/>
        </a:xfrm>
        <a:prstGeom prst="round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800" b="0" cap="none" spc="0">
              <a:ln w="0"/>
              <a:solidFill>
                <a:schemeClr val="accent4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lgerian" panose="04020705040A02060702" pitchFamily="82" charset="0"/>
            </a:rPr>
            <a:t>Renda Fixa</a:t>
          </a:r>
        </a:p>
      </xdr:txBody>
    </xdr:sp>
    <xdr:clientData/>
  </xdr:twoCellAnchor>
  <xdr:twoCellAnchor>
    <xdr:from>
      <xdr:col>1</xdr:col>
      <xdr:colOff>738186</xdr:colOff>
      <xdr:row>32</xdr:row>
      <xdr:rowOff>1</xdr:rowOff>
    </xdr:from>
    <xdr:to>
      <xdr:col>3</xdr:col>
      <xdr:colOff>571500</xdr:colOff>
      <xdr:row>47</xdr:row>
      <xdr:rowOff>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58BC57A-6FD5-40C5-BCA8-545EE2AF34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74543</xdr:colOff>
      <xdr:row>0</xdr:row>
      <xdr:rowOff>139838</xdr:rowOff>
    </xdr:from>
    <xdr:to>
      <xdr:col>6</xdr:col>
      <xdr:colOff>104361</xdr:colOff>
      <xdr:row>0</xdr:row>
      <xdr:rowOff>1838261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15CE27B-62AB-4339-B36C-7B7156AE18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2104"/>
        <a:stretch/>
      </xdr:blipFill>
      <xdr:spPr>
        <a:xfrm>
          <a:off x="74543" y="139838"/>
          <a:ext cx="6377609" cy="1698423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32</xdr:row>
      <xdr:rowOff>157161</xdr:rowOff>
    </xdr:from>
    <xdr:to>
      <xdr:col>4</xdr:col>
      <xdr:colOff>38100</xdr:colOff>
      <xdr:row>49</xdr:row>
      <xdr:rowOff>47624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E6A312B-54E9-45CD-8CB6-F68F16F66E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BD1A0-E7D9-4373-A1F0-28643A5F3128}">
  <dimension ref="A1:XFD62"/>
  <sheetViews>
    <sheetView tabSelected="1" topLeftCell="A22" zoomScaleNormal="100" workbookViewId="0">
      <selection activeCell="G9" sqref="G9"/>
    </sheetView>
  </sheetViews>
  <sheetFormatPr defaultColWidth="9.140625" defaultRowHeight="15" x14ac:dyDescent="0.25"/>
  <cols>
    <col min="1" max="1" width="3" style="3" bestFit="1" customWidth="1"/>
    <col min="2" max="2" width="42.7109375" style="3" bestFit="1" customWidth="1"/>
    <col min="3" max="3" width="30.140625" style="3" bestFit="1" customWidth="1"/>
    <col min="4" max="4" width="27.7109375" style="3" bestFit="1" customWidth="1"/>
    <col min="5" max="8" width="1.5703125" style="3" customWidth="1"/>
    <col min="9" max="25" width="9.140625" style="3" hidden="1" customWidth="1"/>
    <col min="26" max="26" width="15.7109375" style="3" hidden="1" customWidth="1"/>
    <col min="27" max="16382" width="0" style="3" hidden="1" customWidth="1"/>
    <col min="16383" max="16383" width="9.140625" style="3" hidden="1" customWidth="1"/>
    <col min="16384" max="16384" width="0" style="3" hidden="1" customWidth="1"/>
  </cols>
  <sheetData>
    <row r="1" spans="1:26" s="5" customFormat="1" ht="152.25" customHeight="1" x14ac:dyDescent="0.35">
      <c r="A1" s="101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</row>
    <row r="2" spans="1:26" s="3" customFormat="1" ht="15.75" thickBot="1" x14ac:dyDescent="0.3"/>
    <row r="3" spans="1:26" s="3" customFormat="1" ht="25.5" x14ac:dyDescent="0.5">
      <c r="B3" s="103" t="s">
        <v>15</v>
      </c>
      <c r="C3" s="104"/>
      <c r="D3" s="105"/>
    </row>
    <row r="4" spans="1:26" s="3" customFormat="1" ht="18" thickBot="1" x14ac:dyDescent="0.35">
      <c r="B4" s="19" t="s">
        <v>11</v>
      </c>
      <c r="C4" s="20"/>
      <c r="D4" s="106">
        <v>2000</v>
      </c>
    </row>
    <row r="5" spans="1:26" s="3" customFormat="1" ht="18" thickBot="1" x14ac:dyDescent="0.35">
      <c r="B5" s="13" t="s">
        <v>12</v>
      </c>
      <c r="C5" s="14"/>
      <c r="D5" s="39">
        <v>1.2500000000000001E-2</v>
      </c>
    </row>
    <row r="6" spans="1:26" s="3" customFormat="1" ht="18" thickBot="1" x14ac:dyDescent="0.35">
      <c r="B6" s="13" t="s">
        <v>35</v>
      </c>
      <c r="C6" s="14"/>
      <c r="D6" s="15">
        <f>D4*30%</f>
        <v>600</v>
      </c>
    </row>
    <row r="7" spans="1:26" s="3" customFormat="1" ht="18" thickBot="1" x14ac:dyDescent="0.35">
      <c r="B7" s="107" t="s">
        <v>37</v>
      </c>
      <c r="C7" s="108"/>
      <c r="D7" s="109">
        <v>0.15</v>
      </c>
    </row>
    <row r="8" spans="1:26" s="3" customFormat="1" ht="22.5" customHeight="1" thickBot="1" x14ac:dyDescent="0.3"/>
    <row r="9" spans="1:26" s="3" customFormat="1" ht="30.75" x14ac:dyDescent="0.55000000000000004">
      <c r="B9" s="89" t="s">
        <v>14</v>
      </c>
      <c r="C9" s="90"/>
      <c r="D9" s="91"/>
    </row>
    <row r="10" spans="1:26" s="3" customFormat="1" ht="15.75" customHeight="1" thickBot="1" x14ac:dyDescent="0.35">
      <c r="B10" s="19" t="s">
        <v>0</v>
      </c>
      <c r="C10" s="20"/>
      <c r="D10" s="21">
        <v>200</v>
      </c>
    </row>
    <row r="11" spans="1:26" s="3" customFormat="1" ht="15.75" customHeight="1" thickBot="1" x14ac:dyDescent="0.35">
      <c r="B11" s="13" t="s">
        <v>1</v>
      </c>
      <c r="C11" s="14"/>
      <c r="D11" s="22">
        <v>5</v>
      </c>
    </row>
    <row r="12" spans="1:26" s="3" customFormat="1" ht="15.75" customHeight="1" thickBot="1" x14ac:dyDescent="0.35">
      <c r="B12" s="13" t="s">
        <v>38</v>
      </c>
      <c r="C12" s="14"/>
      <c r="D12" s="23">
        <f>D7/12</f>
        <v>1.2499999999999999E-2</v>
      </c>
    </row>
    <row r="13" spans="1:26" s="3" customFormat="1" ht="15.75" customHeight="1" thickBot="1" x14ac:dyDescent="0.35">
      <c r="B13" s="24" t="s">
        <v>4</v>
      </c>
      <c r="C13" s="25"/>
      <c r="D13" s="26">
        <f>FV(Taxa_Rendimento_Anual,Tempo*12,Aporte*-1)</f>
        <v>17714.901551219828</v>
      </c>
    </row>
    <row r="14" spans="1:26" s="3" customFormat="1" ht="15.75" customHeight="1" thickBot="1" x14ac:dyDescent="0.35">
      <c r="B14" s="27" t="s">
        <v>2</v>
      </c>
      <c r="C14" s="28"/>
      <c r="D14" s="29">
        <f>D13*$D$5</f>
        <v>221.43626939024784</v>
      </c>
    </row>
    <row r="15" spans="1:26" s="3" customFormat="1" ht="15.75" thickBot="1" x14ac:dyDescent="0.3">
      <c r="B15" s="7"/>
    </row>
    <row r="16" spans="1:26" s="3" customFormat="1" ht="20.25" customHeight="1" x14ac:dyDescent="0.5">
      <c r="B16" s="92" t="s">
        <v>13</v>
      </c>
      <c r="C16" s="93"/>
      <c r="D16" s="94" t="s">
        <v>10</v>
      </c>
    </row>
    <row r="17" spans="1:4" s="3" customFormat="1" ht="18" thickBot="1" x14ac:dyDescent="0.35">
      <c r="A17" s="3">
        <v>2</v>
      </c>
      <c r="B17" s="30" t="s">
        <v>5</v>
      </c>
      <c r="C17" s="31">
        <f>FV(Taxa_Rendimento_Anual,A17*12,Aporte*-1)</f>
        <v>5557.616806629615</v>
      </c>
      <c r="D17" s="32">
        <f>C17*Rendimento_Carteira</f>
        <v>69.470210082870196</v>
      </c>
    </row>
    <row r="18" spans="1:4" s="3" customFormat="1" ht="18" thickBot="1" x14ac:dyDescent="0.35">
      <c r="A18" s="3">
        <v>5</v>
      </c>
      <c r="B18" s="33" t="s">
        <v>6</v>
      </c>
      <c r="C18" s="31">
        <f>FV(Taxa_Rendimento_Anual,A18*12,Aporte*-1)</f>
        <v>17714.901551219828</v>
      </c>
      <c r="D18" s="35">
        <f>C18*Rendimento_Carteira</f>
        <v>221.43626939024784</v>
      </c>
    </row>
    <row r="19" spans="1:4" s="3" customFormat="1" ht="18" thickBot="1" x14ac:dyDescent="0.35">
      <c r="A19" s="3">
        <v>10</v>
      </c>
      <c r="B19" s="33" t="s">
        <v>7</v>
      </c>
      <c r="C19" s="31">
        <f>FV(Taxa_Rendimento_Anual,A19*12,Aporte*-1)</f>
        <v>55043.411663027815</v>
      </c>
      <c r="D19" s="35">
        <f>C19*Rendimento_Carteira</f>
        <v>688.04264578784773</v>
      </c>
    </row>
    <row r="20" spans="1:4" s="3" customFormat="1" ht="22.5" customHeight="1" thickBot="1" x14ac:dyDescent="0.35">
      <c r="A20" s="102">
        <v>15</v>
      </c>
      <c r="B20" s="33" t="s">
        <v>8</v>
      </c>
      <c r="C20" s="31">
        <f>FV(Taxa_Rendimento_Anual,A20*12,Aporte*-1)</f>
        <v>133701.35188011033</v>
      </c>
      <c r="D20" s="35">
        <f>C20*Rendimento_Carteira</f>
        <v>1671.2668985013793</v>
      </c>
    </row>
    <row r="21" spans="1:4" s="3" customFormat="1" ht="18" thickBot="1" x14ac:dyDescent="0.35">
      <c r="A21" s="102">
        <v>20</v>
      </c>
      <c r="B21" s="36" t="s">
        <v>9</v>
      </c>
      <c r="C21" s="37">
        <f>FV(Taxa_Rendimento_Anual,A21*12,Aporte*-1)</f>
        <v>299447.89629515237</v>
      </c>
      <c r="D21" s="38">
        <f>C21*Rendimento_Carteira</f>
        <v>3743.0987036894048</v>
      </c>
    </row>
    <row r="22" spans="1:4" s="3" customFormat="1" ht="15.75" thickBot="1" x14ac:dyDescent="0.3"/>
    <row r="23" spans="1:4" s="3" customFormat="1" ht="15.75" x14ac:dyDescent="0.25">
      <c r="A23" s="4"/>
      <c r="B23" s="96" t="s">
        <v>16</v>
      </c>
      <c r="C23" s="97"/>
      <c r="D23" s="95" t="s">
        <v>36</v>
      </c>
    </row>
    <row r="24" spans="1:4" s="3" customFormat="1" ht="18" thickBot="1" x14ac:dyDescent="0.35">
      <c r="A24" s="4"/>
      <c r="B24" s="49" t="s">
        <v>18</v>
      </c>
      <c r="C24" s="50"/>
      <c r="D24" s="51">
        <f>Aporte</f>
        <v>200</v>
      </c>
    </row>
    <row r="25" spans="1:4" s="3" customFormat="1" ht="18" thickBot="1" x14ac:dyDescent="0.35">
      <c r="A25" s="4"/>
      <c r="B25" s="45"/>
    </row>
    <row r="26" spans="1:4" s="3" customFormat="1" ht="17.25" x14ac:dyDescent="0.3">
      <c r="A26" s="4"/>
      <c r="B26" s="99" t="s">
        <v>39</v>
      </c>
      <c r="C26" s="98" t="s">
        <v>20</v>
      </c>
      <c r="D26" s="100" t="s">
        <v>21</v>
      </c>
    </row>
    <row r="27" spans="1:4" s="3" customFormat="1" ht="15.75" thickBot="1" x14ac:dyDescent="0.3">
      <c r="A27" s="4"/>
      <c r="B27" s="55" t="s">
        <v>40</v>
      </c>
      <c r="C27" s="58">
        <f>VLOOKUP($D$23&amp;"-"&amp;B27,'Planilha de Apoio'!$B:$E,4,FALSE)</f>
        <v>0.35</v>
      </c>
      <c r="D27" s="61">
        <f>C27*$D$24</f>
        <v>70</v>
      </c>
    </row>
    <row r="28" spans="1:4" s="3" customFormat="1" ht="15.75" thickBot="1" x14ac:dyDescent="0.3">
      <c r="A28" s="4"/>
      <c r="B28" s="56" t="s">
        <v>41</v>
      </c>
      <c r="C28" s="59">
        <f>VLOOKUP($D$23&amp;"-"&amp;B28,'Planilha de Apoio'!$B:$E,4,FALSE)</f>
        <v>0.3</v>
      </c>
      <c r="D28" s="62">
        <f>C28*$D$24</f>
        <v>60</v>
      </c>
    </row>
    <row r="29" spans="1:4" s="3" customFormat="1" ht="15.75" thickBot="1" x14ac:dyDescent="0.3">
      <c r="B29" s="56" t="s">
        <v>42</v>
      </c>
      <c r="C29" s="59">
        <f>VLOOKUP($D$23&amp;"-"&amp;B29,'Planilha de Apoio'!$B:$E,4,FALSE)</f>
        <v>0.3</v>
      </c>
      <c r="D29" s="62">
        <f t="shared" ref="D29:D32" si="0">C29*$D$24</f>
        <v>60</v>
      </c>
    </row>
    <row r="30" spans="1:4" s="3" customFormat="1" ht="15.75" thickBot="1" x14ac:dyDescent="0.3">
      <c r="B30" s="57" t="s">
        <v>43</v>
      </c>
      <c r="C30" s="60">
        <f>VLOOKUP($D$23&amp;"-"&amp;B30,'Planilha de Apoio'!$B:$E,4,FALSE)</f>
        <v>0.05</v>
      </c>
      <c r="D30" s="63">
        <f t="shared" si="0"/>
        <v>10</v>
      </c>
    </row>
    <row r="31" spans="1:4" s="3" customFormat="1" x14ac:dyDescent="0.25">
      <c r="B31" s="64" t="s">
        <v>27</v>
      </c>
      <c r="C31" s="64"/>
      <c r="D31" s="65">
        <f>SUM(D27:D30)</f>
        <v>200</v>
      </c>
    </row>
    <row r="32" spans="1:4" s="3" customFormat="1" x14ac:dyDescent="0.25">
      <c r="B32"/>
      <c r="C32"/>
      <c r="D32"/>
    </row>
    <row r="33" s="3" customFormat="1" x14ac:dyDescent="0.25"/>
    <row r="34" s="3" customFormat="1" x14ac:dyDescent="0.25"/>
    <row r="35" s="3" customFormat="1" x14ac:dyDescent="0.25"/>
    <row r="36" s="3" customFormat="1" x14ac:dyDescent="0.25"/>
    <row r="37" s="3" customFormat="1" x14ac:dyDescent="0.25"/>
    <row r="38" s="3" customFormat="1" x14ac:dyDescent="0.25"/>
    <row r="39" s="3" customFormat="1" x14ac:dyDescent="0.25"/>
    <row r="40" s="3" customFormat="1" x14ac:dyDescent="0.25"/>
    <row r="41" s="3" customFormat="1" x14ac:dyDescent="0.25"/>
    <row r="42" s="3" customFormat="1" x14ac:dyDescent="0.25"/>
    <row r="43" s="3" customFormat="1" x14ac:dyDescent="0.25"/>
    <row r="44" s="3" customFormat="1" x14ac:dyDescent="0.25"/>
    <row r="45" s="3" customFormat="1" x14ac:dyDescent="0.25"/>
    <row r="46" s="3" customFormat="1" x14ac:dyDescent="0.25"/>
    <row r="47" s="3" customFormat="1" x14ac:dyDescent="0.25"/>
    <row r="48" s="3" customFormat="1" x14ac:dyDescent="0.25"/>
    <row r="49" s="3" customFormat="1" x14ac:dyDescent="0.25"/>
    <row r="50" s="3" customFormat="1" x14ac:dyDescent="0.25"/>
    <row r="51" s="3" customFormat="1" x14ac:dyDescent="0.25"/>
    <row r="52" s="3" customFormat="1" x14ac:dyDescent="0.25"/>
    <row r="53" s="3" customFormat="1" x14ac:dyDescent="0.25"/>
    <row r="54" s="3" customFormat="1" x14ac:dyDescent="0.25"/>
    <row r="55" s="3" customFormat="1" x14ac:dyDescent="0.25"/>
    <row r="56" s="3" customFormat="1" x14ac:dyDescent="0.25"/>
    <row r="57" s="3" customFormat="1" x14ac:dyDescent="0.25"/>
    <row r="58" s="3" customFormat="1" x14ac:dyDescent="0.25"/>
    <row r="59" s="3" customFormat="1" x14ac:dyDescent="0.25"/>
    <row r="60" s="3" customFormat="1" x14ac:dyDescent="0.25"/>
    <row r="61" s="3" customFormat="1" x14ac:dyDescent="0.25"/>
    <row r="62" s="3" customFormat="1" x14ac:dyDescent="0.25"/>
  </sheetData>
  <mergeCells count="15">
    <mergeCell ref="B23:C23"/>
    <mergeCell ref="B24:C24"/>
    <mergeCell ref="B7:C7"/>
    <mergeCell ref="B10:C10"/>
    <mergeCell ref="B11:C11"/>
    <mergeCell ref="B12:C12"/>
    <mergeCell ref="B13:C13"/>
    <mergeCell ref="B14:C14"/>
    <mergeCell ref="B16:C16"/>
    <mergeCell ref="A1:Z1"/>
    <mergeCell ref="B3:D3"/>
    <mergeCell ref="B4:C4"/>
    <mergeCell ref="B5:C5"/>
    <mergeCell ref="B6:C6"/>
    <mergeCell ref="B9:D9"/>
  </mergeCells>
  <dataValidations count="1">
    <dataValidation type="list" allowBlank="1" showInputMessage="1" showErrorMessage="1" sqref="D23" xr:uid="{173D979C-5CF5-4E34-8148-B4A0B20A402A}">
      <formula1>"Agressivo,Moderado,Conservador"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A0285-1CFE-4741-9614-63FF0040D6A1}">
  <dimension ref="A1:XFD61"/>
  <sheetViews>
    <sheetView showGridLines="0" showRowColHeaders="0" topLeftCell="A7" zoomScale="115" zoomScaleNormal="115" workbookViewId="0">
      <selection activeCell="C28" sqref="C28"/>
    </sheetView>
  </sheetViews>
  <sheetFormatPr defaultColWidth="9.140625" defaultRowHeight="15" x14ac:dyDescent="0.25"/>
  <cols>
    <col min="1" max="1" width="3.42578125" bestFit="1" customWidth="1"/>
    <col min="2" max="2" width="49.140625" customWidth="1"/>
    <col min="3" max="3" width="19.85546875" customWidth="1"/>
    <col min="4" max="4" width="19.42578125" customWidth="1"/>
    <col min="5" max="8" width="1.5703125" customWidth="1"/>
    <col min="9" max="25" width="9.140625" hidden="1" customWidth="1"/>
    <col min="26" max="26" width="15.7109375" hidden="1" customWidth="1"/>
    <col min="27" max="16382" width="0" hidden="1" customWidth="1"/>
    <col min="16383" max="16383" width="9.140625" hidden="1" customWidth="1"/>
    <col min="16384" max="16384" width="0" hidden="1" customWidth="1"/>
  </cols>
  <sheetData>
    <row r="1" spans="1:26" s="1" customFormat="1" ht="152.25" customHeight="1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customFormat="1" ht="15.75" thickBot="1" x14ac:dyDescent="0.3"/>
    <row r="3" spans="1:26" s="3" customFormat="1" ht="26.25" thickBot="1" x14ac:dyDescent="0.55000000000000004">
      <c r="B3" s="10" t="s">
        <v>15</v>
      </c>
      <c r="C3" s="11"/>
      <c r="D3" s="12"/>
    </row>
    <row r="4" spans="1:26" s="3" customFormat="1" ht="18" thickBot="1" x14ac:dyDescent="0.35">
      <c r="B4" s="13" t="s">
        <v>11</v>
      </c>
      <c r="C4" s="14"/>
      <c r="D4" s="40">
        <v>726.47</v>
      </c>
    </row>
    <row r="5" spans="1:26" s="3" customFormat="1" ht="18" thickBot="1" x14ac:dyDescent="0.35">
      <c r="B5" s="13" t="s">
        <v>12</v>
      </c>
      <c r="C5" s="14"/>
      <c r="D5" s="39">
        <v>1</v>
      </c>
    </row>
    <row r="6" spans="1:26" customFormat="1" ht="18" thickBot="1" x14ac:dyDescent="0.35">
      <c r="B6" s="16" t="s">
        <v>35</v>
      </c>
      <c r="C6" s="17"/>
      <c r="D6" s="18">
        <f>D4*30%</f>
        <v>217.941</v>
      </c>
    </row>
    <row r="7" spans="1:26" customFormat="1" ht="22.5" customHeight="1" thickBot="1" x14ac:dyDescent="0.3">
      <c r="B7" s="3"/>
      <c r="C7" s="3"/>
    </row>
    <row r="8" spans="1:26" customFormat="1" ht="30.75" x14ac:dyDescent="0.55000000000000004">
      <c r="B8" s="8" t="s">
        <v>14</v>
      </c>
      <c r="C8" s="9"/>
      <c r="D8" s="44"/>
    </row>
    <row r="9" spans="1:26" customFormat="1" ht="15.75" customHeight="1" thickBot="1" x14ac:dyDescent="0.35">
      <c r="B9" s="19" t="s">
        <v>0</v>
      </c>
      <c r="C9" s="20"/>
      <c r="D9" s="21">
        <v>337.94</v>
      </c>
    </row>
    <row r="10" spans="1:26" customFormat="1" ht="15.75" customHeight="1" thickBot="1" x14ac:dyDescent="0.35">
      <c r="B10" s="13" t="s">
        <v>1</v>
      </c>
      <c r="C10" s="14"/>
      <c r="D10" s="22">
        <v>5</v>
      </c>
    </row>
    <row r="11" spans="1:26" customFormat="1" ht="15.75" customHeight="1" thickBot="1" x14ac:dyDescent="0.35">
      <c r="B11" s="13" t="s">
        <v>3</v>
      </c>
      <c r="C11" s="14"/>
      <c r="D11" s="23">
        <v>1.0789999999999999E-2</v>
      </c>
    </row>
    <row r="12" spans="1:26" customFormat="1" ht="15.75" customHeight="1" thickBot="1" x14ac:dyDescent="0.35">
      <c r="B12" s="24" t="s">
        <v>4</v>
      </c>
      <c r="C12" s="25"/>
      <c r="D12" s="26">
        <f>FV(Taxa_Rendimento_Anual,Tempo*12,Aporte*-1)</f>
        <v>28311.570316648915</v>
      </c>
    </row>
    <row r="13" spans="1:26" customFormat="1" ht="15.75" customHeight="1" thickBot="1" x14ac:dyDescent="0.35">
      <c r="B13" s="27" t="s">
        <v>2</v>
      </c>
      <c r="C13" s="28"/>
      <c r="D13" s="29">
        <f>D12*$D$5</f>
        <v>28311.570316648915</v>
      </c>
    </row>
    <row r="14" spans="1:26" customFormat="1" ht="15.75" thickBot="1" x14ac:dyDescent="0.3">
      <c r="B14" s="7"/>
    </row>
    <row r="15" spans="1:26" customFormat="1" ht="20.25" customHeight="1" x14ac:dyDescent="0.5">
      <c r="B15" s="41" t="s">
        <v>13</v>
      </c>
      <c r="C15" s="42"/>
      <c r="D15" s="43" t="s">
        <v>10</v>
      </c>
    </row>
    <row r="16" spans="1:26" customFormat="1" ht="18" thickBot="1" x14ac:dyDescent="0.35">
      <c r="B16" s="30" t="s">
        <v>5</v>
      </c>
      <c r="C16" s="31">
        <f>FV(Taxa_Rendimento_Anual,$A22*12,Aporte*-1)</f>
        <v>9201.3043689662245</v>
      </c>
      <c r="D16" s="32">
        <f>C16*Rendimento_Carteira</f>
        <v>9201.3043689662245</v>
      </c>
    </row>
    <row r="17" spans="1:4" customFormat="1" ht="18" thickBot="1" x14ac:dyDescent="0.35">
      <c r="B17" s="33" t="s">
        <v>6</v>
      </c>
      <c r="C17" s="34">
        <f>FV(Taxa_Rendimento_Anual,$A23*12,Aporte*-1)</f>
        <v>28311.570316648915</v>
      </c>
      <c r="D17" s="35">
        <f>C17*Rendimento_Carteira</f>
        <v>28311.570316648915</v>
      </c>
    </row>
    <row r="18" spans="1:4" customFormat="1" ht="18" thickBot="1" x14ac:dyDescent="0.35">
      <c r="B18" s="33" t="s">
        <v>7</v>
      </c>
      <c r="C18" s="34">
        <f>FV(Taxa_Rendimento_Anual,$A24*12,Aporte*-1)</f>
        <v>82215.466782446398</v>
      </c>
      <c r="D18" s="35">
        <f>C18*Rendimento_Carteira</f>
        <v>82215.466782446398</v>
      </c>
    </row>
    <row r="19" spans="1:4" customFormat="1" ht="22.5" customHeight="1" thickBot="1" x14ac:dyDescent="0.35">
      <c r="B19" s="33" t="s">
        <v>8</v>
      </c>
      <c r="C19" s="34">
        <f>FV(Taxa_Rendimento_Anual,$A25*12,Aporte*-1)</f>
        <v>184845.94688996364</v>
      </c>
      <c r="D19" s="35">
        <f>C19*Rendimento_Carteira</f>
        <v>184845.94688996364</v>
      </c>
    </row>
    <row r="20" spans="1:4" customFormat="1" ht="18" thickBot="1" x14ac:dyDescent="0.35">
      <c r="B20" s="36" t="s">
        <v>9</v>
      </c>
      <c r="C20" s="37">
        <f>FV(Taxa_Rendimento_Anual,$A26*12,Aporte*-1)</f>
        <v>380249.54732880741</v>
      </c>
      <c r="D20" s="38">
        <f>C20*Rendimento_Carteira</f>
        <v>380249.54732880741</v>
      </c>
    </row>
    <row r="21" spans="1:4" customFormat="1" ht="15.75" thickBot="1" x14ac:dyDescent="0.3"/>
    <row r="22" spans="1:4" customFormat="1" ht="15.75" x14ac:dyDescent="0.25">
      <c r="A22" s="4">
        <v>2</v>
      </c>
      <c r="B22" s="46" t="s">
        <v>16</v>
      </c>
      <c r="C22" s="47"/>
      <c r="D22" s="48" t="s">
        <v>17</v>
      </c>
    </row>
    <row r="23" spans="1:4" customFormat="1" ht="18" thickBot="1" x14ac:dyDescent="0.35">
      <c r="A23" s="4">
        <v>5</v>
      </c>
      <c r="B23" s="49" t="s">
        <v>18</v>
      </c>
      <c r="C23" s="50"/>
      <c r="D23" s="51">
        <f>Aporte</f>
        <v>337.94</v>
      </c>
    </row>
    <row r="24" spans="1:4" customFormat="1" ht="18" thickBot="1" x14ac:dyDescent="0.35">
      <c r="A24" s="4">
        <v>10</v>
      </c>
      <c r="B24" s="45"/>
      <c r="C24" s="3"/>
      <c r="D24" s="3"/>
    </row>
    <row r="25" spans="1:4" customFormat="1" ht="17.25" x14ac:dyDescent="0.3">
      <c r="A25" s="4">
        <v>15</v>
      </c>
      <c r="B25" s="53" t="s">
        <v>19</v>
      </c>
      <c r="C25" s="54" t="s">
        <v>20</v>
      </c>
      <c r="D25" s="6" t="s">
        <v>21</v>
      </c>
    </row>
    <row r="26" spans="1:4" customFormat="1" ht="15.75" thickBot="1" x14ac:dyDescent="0.3">
      <c r="A26" s="4">
        <v>20</v>
      </c>
      <c r="B26" s="55" t="s">
        <v>22</v>
      </c>
      <c r="C26" s="58">
        <f>VLOOKUP($D$22&amp;"-"&amp;B26,'Planilha de Apoio'!$B:$E,4,FALSE)</f>
        <v>0.3</v>
      </c>
      <c r="D26" s="61">
        <f>C26*$D$23</f>
        <v>101.38199999999999</v>
      </c>
    </row>
    <row r="27" spans="1:4" customFormat="1" ht="15.75" thickBot="1" x14ac:dyDescent="0.3">
      <c r="A27" s="4"/>
      <c r="B27" s="56" t="s">
        <v>23</v>
      </c>
      <c r="C27" s="59">
        <f>VLOOKUP($D$22&amp;"-"&amp;B27,'Planilha de Apoio'!$B:$E,4,FALSE)</f>
        <v>0.5</v>
      </c>
      <c r="D27" s="62">
        <f>C27*$D$23</f>
        <v>168.97</v>
      </c>
    </row>
    <row r="28" spans="1:4" customFormat="1" ht="15.75" thickBot="1" x14ac:dyDescent="0.3">
      <c r="B28" s="56" t="s">
        <v>24</v>
      </c>
      <c r="C28" s="59">
        <f>VLOOKUP($D$22&amp;"-"&amp;B28,'Planilha de Apoio'!$B:$E,4,FALSE)</f>
        <v>0.1</v>
      </c>
      <c r="D28" s="62">
        <f t="shared" ref="D27:D31" si="0">C28*$D$23</f>
        <v>33.794000000000004</v>
      </c>
    </row>
    <row r="29" spans="1:4" customFormat="1" ht="15.75" thickBot="1" x14ac:dyDescent="0.3">
      <c r="B29" s="56" t="s">
        <v>25</v>
      </c>
      <c r="C29" s="59">
        <f>VLOOKUP($D$22&amp;"-"&amp;B29,'Planilha de Apoio'!$B:$E,4,FALSE)</f>
        <v>0.1</v>
      </c>
      <c r="D29" s="62">
        <f t="shared" si="0"/>
        <v>33.794000000000004</v>
      </c>
    </row>
    <row r="30" spans="1:4" customFormat="1" ht="15.75" thickBot="1" x14ac:dyDescent="0.3">
      <c r="B30" s="56" t="s">
        <v>32</v>
      </c>
      <c r="C30" s="59">
        <f>VLOOKUP($D$22&amp;"-"&amp;B30,'Planilha de Apoio'!$B:$E,4,FALSE)</f>
        <v>0</v>
      </c>
      <c r="D30" s="62">
        <f t="shared" si="0"/>
        <v>0</v>
      </c>
    </row>
    <row r="31" spans="1:4" customFormat="1" ht="15.75" thickBot="1" x14ac:dyDescent="0.3">
      <c r="B31" s="57" t="s">
        <v>26</v>
      </c>
      <c r="C31" s="60">
        <f>VLOOKUP($D$22&amp;"-"&amp;B31,'Planilha de Apoio'!$B:$E,4,FALSE)</f>
        <v>0</v>
      </c>
      <c r="D31" s="63">
        <f t="shared" si="0"/>
        <v>0</v>
      </c>
    </row>
    <row r="32" spans="1:4" customFormat="1" x14ac:dyDescent="0.25">
      <c r="B32" s="64" t="s">
        <v>27</v>
      </c>
      <c r="C32" s="64"/>
      <c r="D32" s="65">
        <f>SUM(D26:D31)</f>
        <v>337.93999999999994</v>
      </c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</sheetData>
  <mergeCells count="14">
    <mergeCell ref="B15:C15"/>
    <mergeCell ref="B9:C9"/>
    <mergeCell ref="B10:C10"/>
    <mergeCell ref="B12:C12"/>
    <mergeCell ref="B4:C4"/>
    <mergeCell ref="B5:C5"/>
    <mergeCell ref="B6:C6"/>
    <mergeCell ref="B3:D3"/>
    <mergeCell ref="B8:D8"/>
    <mergeCell ref="B11:C11"/>
    <mergeCell ref="B13:C13"/>
    <mergeCell ref="B22:C22"/>
    <mergeCell ref="B23:C23"/>
    <mergeCell ref="A1:Z1"/>
  </mergeCells>
  <dataValidations count="1">
    <dataValidation type="list" allowBlank="1" showInputMessage="1" showErrorMessage="1" sqref="D22" xr:uid="{44028713-57B6-4F08-8B3C-E55896FB0A02}">
      <formula1>"Agressivo,Moderado,Conservador"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36A83-E7BD-43FA-936A-300620451C87}">
  <dimension ref="B2:N34"/>
  <sheetViews>
    <sheetView workbookViewId="0">
      <selection activeCell="E34" sqref="E34"/>
    </sheetView>
  </sheetViews>
  <sheetFormatPr defaultRowHeight="15" x14ac:dyDescent="0.25"/>
  <cols>
    <col min="2" max="2" width="33.85546875" bestFit="1" customWidth="1"/>
    <col min="3" max="3" width="27.140625" bestFit="1" customWidth="1"/>
    <col min="4" max="4" width="19" bestFit="1" customWidth="1"/>
    <col min="5" max="5" width="12.28515625" bestFit="1" customWidth="1"/>
    <col min="6" max="6" width="9" bestFit="1" customWidth="1"/>
    <col min="8" max="8" width="16" bestFit="1" customWidth="1"/>
    <col min="9" max="9" width="8.5703125" bestFit="1" customWidth="1"/>
  </cols>
  <sheetData>
    <row r="2" spans="2:14" x14ac:dyDescent="0.25">
      <c r="B2" s="71" t="s">
        <v>28</v>
      </c>
      <c r="C2" s="72" t="s">
        <v>16</v>
      </c>
      <c r="D2" s="72" t="s">
        <v>19</v>
      </c>
      <c r="E2" s="73" t="s">
        <v>20</v>
      </c>
      <c r="I2" t="s">
        <v>34</v>
      </c>
    </row>
    <row r="3" spans="2:14" x14ac:dyDescent="0.25">
      <c r="B3" s="74" t="str">
        <f>$C$3&amp;"-"&amp;D3</f>
        <v>CONSERVADOR-PAPEL</v>
      </c>
      <c r="C3" s="66" t="s">
        <v>29</v>
      </c>
      <c r="D3" s="66" t="s">
        <v>22</v>
      </c>
      <c r="E3" s="75">
        <v>0.3</v>
      </c>
      <c r="H3" s="70" t="s">
        <v>33</v>
      </c>
      <c r="I3" s="69">
        <f>VLOOKUP(H3,$B:$E,4,FALSE)</f>
        <v>0.35</v>
      </c>
    </row>
    <row r="4" spans="2:14" x14ac:dyDescent="0.25">
      <c r="B4" s="74" t="str">
        <f>$C$3&amp;"-"&amp;D4</f>
        <v>CONSERVADOR-TIJOLO</v>
      </c>
      <c r="C4" s="66" t="s">
        <v>29</v>
      </c>
      <c r="D4" s="66" t="s">
        <v>23</v>
      </c>
      <c r="E4" s="75">
        <v>0.5</v>
      </c>
    </row>
    <row r="5" spans="2:14" x14ac:dyDescent="0.25">
      <c r="B5" s="74" t="str">
        <f>$C$3&amp;"-"&amp;D5</f>
        <v>CONSERVADOR-HIBRIDOS</v>
      </c>
      <c r="C5" s="66" t="s">
        <v>29</v>
      </c>
      <c r="D5" s="66" t="s">
        <v>24</v>
      </c>
      <c r="E5" s="75">
        <v>0.1</v>
      </c>
    </row>
    <row r="6" spans="2:14" x14ac:dyDescent="0.25">
      <c r="B6" s="74" t="str">
        <f>$C$3&amp;"-"&amp;D6</f>
        <v>CONSERVADOR-FOF</v>
      </c>
      <c r="C6" s="66" t="s">
        <v>29</v>
      </c>
      <c r="D6" s="66" t="s">
        <v>25</v>
      </c>
      <c r="E6" s="75">
        <v>0.1</v>
      </c>
    </row>
    <row r="7" spans="2:14" x14ac:dyDescent="0.25">
      <c r="B7" s="74" t="str">
        <f>$C$3&amp;"-"&amp;D7</f>
        <v>CONSERVADOR-DESENVOLVIMENTO</v>
      </c>
      <c r="C7" s="66" t="s">
        <v>29</v>
      </c>
      <c r="D7" s="66" t="s">
        <v>32</v>
      </c>
      <c r="E7" s="75">
        <v>0</v>
      </c>
    </row>
    <row r="8" spans="2:14" ht="15.75" thickBot="1" x14ac:dyDescent="0.3">
      <c r="B8" s="76" t="str">
        <f>$C$3&amp;"-"&amp;D8</f>
        <v>CONSERVADOR-HOTELARIAS</v>
      </c>
      <c r="C8" s="67" t="s">
        <v>29</v>
      </c>
      <c r="D8" s="67" t="s">
        <v>26</v>
      </c>
      <c r="E8" s="77">
        <v>0</v>
      </c>
    </row>
    <row r="9" spans="2:14" x14ac:dyDescent="0.25">
      <c r="B9" s="78" t="str">
        <f>$C$9&amp;"-"&amp;D9</f>
        <v>MODERADO-PAPEL</v>
      </c>
      <c r="C9" s="79" t="s">
        <v>30</v>
      </c>
      <c r="D9" s="79" t="s">
        <v>22</v>
      </c>
      <c r="E9" s="80">
        <v>0.32</v>
      </c>
    </row>
    <row r="10" spans="2:14" x14ac:dyDescent="0.25">
      <c r="B10" s="78" t="str">
        <f>$C$9&amp;"-"&amp;D10</f>
        <v>MODERADO-TIJOLO</v>
      </c>
      <c r="C10" s="79" t="s">
        <v>30</v>
      </c>
      <c r="D10" s="79" t="s">
        <v>23</v>
      </c>
      <c r="E10" s="80">
        <v>0.35</v>
      </c>
      <c r="H10" s="52"/>
      <c r="I10" s="52"/>
      <c r="J10" s="52"/>
      <c r="K10" s="52"/>
      <c r="L10" s="52"/>
      <c r="M10" s="52"/>
      <c r="N10" s="52"/>
    </row>
    <row r="11" spans="2:14" x14ac:dyDescent="0.25">
      <c r="B11" s="78" t="str">
        <f>$C$9&amp;"-"&amp;D11</f>
        <v>MODERADO-HIBRIDOS</v>
      </c>
      <c r="C11" s="79" t="s">
        <v>30</v>
      </c>
      <c r="D11" s="79" t="s">
        <v>24</v>
      </c>
      <c r="E11" s="80">
        <v>0.08</v>
      </c>
      <c r="H11" s="52"/>
      <c r="I11" s="52"/>
      <c r="J11" s="52"/>
      <c r="K11" s="52"/>
      <c r="L11" s="52"/>
      <c r="M11" s="52"/>
      <c r="N11" s="52"/>
    </row>
    <row r="12" spans="2:14" x14ac:dyDescent="0.25">
      <c r="B12" s="78" t="str">
        <f>$C$9&amp;"-"&amp;D12</f>
        <v>MODERADO-FOF</v>
      </c>
      <c r="C12" s="79" t="s">
        <v>30</v>
      </c>
      <c r="D12" s="79" t="s">
        <v>25</v>
      </c>
      <c r="E12" s="80">
        <v>0.05</v>
      </c>
      <c r="H12" s="52"/>
      <c r="I12" s="52"/>
      <c r="J12" s="52"/>
      <c r="K12" s="52"/>
      <c r="L12" s="52"/>
      <c r="M12" s="52"/>
      <c r="N12" s="52"/>
    </row>
    <row r="13" spans="2:14" x14ac:dyDescent="0.25">
      <c r="B13" s="78" t="str">
        <f>$C$9&amp;"-"&amp;D13</f>
        <v>MODERADO-DESENVOLVIMENTO</v>
      </c>
      <c r="C13" s="79" t="s">
        <v>30</v>
      </c>
      <c r="D13" s="79" t="s">
        <v>32</v>
      </c>
      <c r="E13" s="80">
        <v>0.1</v>
      </c>
      <c r="H13" s="52"/>
      <c r="I13" s="52"/>
      <c r="J13" s="52"/>
      <c r="K13" s="52"/>
      <c r="L13" s="52"/>
      <c r="M13" s="52"/>
      <c r="N13" s="52"/>
    </row>
    <row r="14" spans="2:14" ht="15.75" thickBot="1" x14ac:dyDescent="0.3">
      <c r="B14" s="81" t="str">
        <f>$C$9&amp;"-"&amp;D14</f>
        <v>MODERADO-HOTELARIAS</v>
      </c>
      <c r="C14" s="68" t="s">
        <v>30</v>
      </c>
      <c r="D14" s="68" t="s">
        <v>26</v>
      </c>
      <c r="E14" s="82">
        <v>0.1</v>
      </c>
      <c r="H14" s="52"/>
      <c r="I14" s="52"/>
      <c r="J14" s="52"/>
      <c r="K14" s="52"/>
      <c r="L14" s="52"/>
      <c r="M14" s="52"/>
      <c r="N14" s="52"/>
    </row>
    <row r="15" spans="2:14" x14ac:dyDescent="0.25">
      <c r="B15" s="83" t="str">
        <f>$C$15&amp;"-"&amp;D15</f>
        <v>AGRESSIVO-PAPEL</v>
      </c>
      <c r="C15" s="84" t="s">
        <v>31</v>
      </c>
      <c r="D15" s="84" t="s">
        <v>22</v>
      </c>
      <c r="E15" s="85">
        <v>0.5</v>
      </c>
      <c r="H15" s="52"/>
      <c r="I15" s="52"/>
      <c r="J15" s="52"/>
      <c r="K15" s="52"/>
      <c r="L15" s="52"/>
      <c r="M15" s="52"/>
      <c r="N15" s="52"/>
    </row>
    <row r="16" spans="2:14" ht="16.5" x14ac:dyDescent="0.3">
      <c r="B16" s="83" t="str">
        <f>$C$15&amp;"-"&amp;D16</f>
        <v>AGRESSIVO-TIJOLO</v>
      </c>
      <c r="C16" s="84" t="s">
        <v>31</v>
      </c>
      <c r="D16" s="84" t="s">
        <v>23</v>
      </c>
      <c r="E16" s="85">
        <v>0.1</v>
      </c>
      <c r="H16" s="126"/>
      <c r="I16" s="52"/>
      <c r="J16" s="52"/>
      <c r="K16" s="52"/>
      <c r="L16" s="52"/>
      <c r="M16" s="52"/>
      <c r="N16" s="52"/>
    </row>
    <row r="17" spans="2:14" x14ac:dyDescent="0.25">
      <c r="B17" s="83" t="str">
        <f>$C$15&amp;"-"&amp;D17</f>
        <v>AGRESSIVO-HIBRIDOS</v>
      </c>
      <c r="C17" s="84" t="s">
        <v>31</v>
      </c>
      <c r="D17" s="84" t="s">
        <v>24</v>
      </c>
      <c r="E17" s="85">
        <v>0.05</v>
      </c>
      <c r="H17" s="52"/>
      <c r="I17" s="52"/>
      <c r="J17" s="52"/>
      <c r="K17" s="52"/>
      <c r="L17" s="52"/>
      <c r="M17" s="52"/>
      <c r="N17" s="52"/>
    </row>
    <row r="18" spans="2:14" x14ac:dyDescent="0.25">
      <c r="B18" s="83" t="str">
        <f>$C$15&amp;"-"&amp;D18</f>
        <v>AGRESSIVO-FOF</v>
      </c>
      <c r="C18" s="84" t="s">
        <v>31</v>
      </c>
      <c r="D18" s="84" t="s">
        <v>25</v>
      </c>
      <c r="E18" s="85">
        <v>0.05</v>
      </c>
      <c r="H18" s="127"/>
      <c r="I18" s="52"/>
      <c r="J18" s="52"/>
      <c r="K18" s="52"/>
      <c r="L18" s="52"/>
      <c r="M18" s="52"/>
      <c r="N18" s="52"/>
    </row>
    <row r="19" spans="2:14" x14ac:dyDescent="0.25">
      <c r="B19" s="83" t="str">
        <f>$C$15&amp;"-"&amp;D19</f>
        <v>AGRESSIVO-DESENVOLVIMENTO</v>
      </c>
      <c r="C19" s="84" t="s">
        <v>31</v>
      </c>
      <c r="D19" s="84" t="s">
        <v>32</v>
      </c>
      <c r="E19" s="85">
        <v>0.2</v>
      </c>
      <c r="H19" s="52"/>
      <c r="I19" s="52"/>
      <c r="J19" s="52"/>
      <c r="K19" s="52"/>
      <c r="L19" s="52"/>
      <c r="M19" s="52"/>
      <c r="N19" s="52"/>
    </row>
    <row r="20" spans="2:14" x14ac:dyDescent="0.25">
      <c r="B20" s="86" t="str">
        <f>$C$15&amp;"-"&amp;D20</f>
        <v>AGRESSIVO-HOTELARIAS</v>
      </c>
      <c r="C20" s="87" t="s">
        <v>31</v>
      </c>
      <c r="D20" s="87" t="s">
        <v>26</v>
      </c>
      <c r="E20" s="88">
        <v>0.1</v>
      </c>
      <c r="H20" s="52"/>
      <c r="I20" s="52"/>
      <c r="J20" s="52"/>
      <c r="K20" s="52"/>
      <c r="L20" s="52"/>
      <c r="M20" s="52"/>
      <c r="N20" s="52"/>
    </row>
    <row r="21" spans="2:14" ht="15.75" thickBot="1" x14ac:dyDescent="0.3">
      <c r="H21" s="52"/>
      <c r="I21" s="52"/>
      <c r="J21" s="52"/>
      <c r="K21" s="52"/>
      <c r="L21" s="52"/>
      <c r="M21" s="52"/>
      <c r="N21" s="52"/>
    </row>
    <row r="22" spans="2:14" x14ac:dyDescent="0.25">
      <c r="B22" s="110" t="s">
        <v>28</v>
      </c>
      <c r="C22" s="111" t="s">
        <v>16</v>
      </c>
      <c r="D22" s="111" t="s">
        <v>19</v>
      </c>
      <c r="E22" s="112" t="s">
        <v>20</v>
      </c>
      <c r="H22" s="52"/>
      <c r="I22" s="52" t="s">
        <v>34</v>
      </c>
      <c r="J22" s="52"/>
      <c r="K22" s="52"/>
      <c r="L22" s="52"/>
      <c r="M22" s="52"/>
      <c r="N22" s="52"/>
    </row>
    <row r="23" spans="2:14" x14ac:dyDescent="0.25">
      <c r="B23" s="113" t="str">
        <f>$C$3&amp;"-"&amp;D23</f>
        <v>CONSERVADOR-CDB</v>
      </c>
      <c r="C23" s="66" t="s">
        <v>29</v>
      </c>
      <c r="D23" s="66" t="s">
        <v>40</v>
      </c>
      <c r="E23" s="114">
        <v>0.4</v>
      </c>
      <c r="H23" s="129" t="s">
        <v>44</v>
      </c>
      <c r="I23" s="128">
        <f>VLOOKUP(H23,B:E,4,FALSE)</f>
        <v>0.05</v>
      </c>
      <c r="J23" s="52"/>
      <c r="K23" s="52"/>
      <c r="L23" s="52"/>
      <c r="M23" s="52"/>
      <c r="N23" s="52"/>
    </row>
    <row r="24" spans="2:14" x14ac:dyDescent="0.25">
      <c r="B24" s="113" t="str">
        <f>$C$3&amp;"-"&amp;D24</f>
        <v>CONSERVADOR-LCI</v>
      </c>
      <c r="C24" s="66" t="s">
        <v>29</v>
      </c>
      <c r="D24" s="66" t="s">
        <v>41</v>
      </c>
      <c r="E24" s="114">
        <v>0.1</v>
      </c>
      <c r="H24" s="52"/>
      <c r="I24" s="52"/>
      <c r="J24" s="52"/>
      <c r="K24" s="52"/>
      <c r="L24" s="52"/>
      <c r="M24" s="52"/>
      <c r="N24" s="52"/>
    </row>
    <row r="25" spans="2:14" x14ac:dyDescent="0.25">
      <c r="B25" s="113" t="str">
        <f>$C$3&amp;"-"&amp;D25</f>
        <v>CONSERVADOR-LCA</v>
      </c>
      <c r="C25" s="66" t="s">
        <v>29</v>
      </c>
      <c r="D25" s="66" t="s">
        <v>42</v>
      </c>
      <c r="E25" s="114">
        <v>0.1</v>
      </c>
      <c r="H25" s="52"/>
      <c r="I25" s="52"/>
      <c r="J25" s="52"/>
      <c r="K25" s="52"/>
      <c r="L25" s="52"/>
      <c r="M25" s="52"/>
      <c r="N25" s="52"/>
    </row>
    <row r="26" spans="2:14" ht="15.75" thickBot="1" x14ac:dyDescent="0.3">
      <c r="B26" s="122" t="str">
        <f>$C$3&amp;"-"&amp;D26</f>
        <v>CONSERVADOR-SELIC</v>
      </c>
      <c r="C26" s="67" t="s">
        <v>29</v>
      </c>
      <c r="D26" s="67" t="s">
        <v>43</v>
      </c>
      <c r="E26" s="123">
        <v>0.4</v>
      </c>
    </row>
    <row r="27" spans="2:14" x14ac:dyDescent="0.25">
      <c r="B27" s="115" t="str">
        <f>$C$9&amp;"-"&amp;D27</f>
        <v>MODERADO-CDB</v>
      </c>
      <c r="C27" s="79" t="s">
        <v>30</v>
      </c>
      <c r="D27" s="79" t="s">
        <v>40</v>
      </c>
      <c r="E27" s="116">
        <v>0.4</v>
      </c>
    </row>
    <row r="28" spans="2:14" x14ac:dyDescent="0.25">
      <c r="B28" s="115" t="str">
        <f>$C$9&amp;"-"&amp;D28</f>
        <v>MODERADO-LCI</v>
      </c>
      <c r="C28" s="79" t="s">
        <v>30</v>
      </c>
      <c r="D28" s="79" t="s">
        <v>41</v>
      </c>
      <c r="E28" s="116">
        <v>0.2</v>
      </c>
    </row>
    <row r="29" spans="2:14" x14ac:dyDescent="0.25">
      <c r="B29" s="115" t="str">
        <f>$C$9&amp;"-"&amp;D29</f>
        <v>MODERADO-LCA</v>
      </c>
      <c r="C29" s="79" t="s">
        <v>30</v>
      </c>
      <c r="D29" s="79" t="s">
        <v>42</v>
      </c>
      <c r="E29" s="116">
        <v>0.2</v>
      </c>
    </row>
    <row r="30" spans="2:14" ht="15.75" thickBot="1" x14ac:dyDescent="0.3">
      <c r="B30" s="124" t="str">
        <f>$C$9&amp;"-"&amp;D30</f>
        <v>MODERADO-SELIC</v>
      </c>
      <c r="C30" s="68" t="s">
        <v>30</v>
      </c>
      <c r="D30" s="68" t="s">
        <v>43</v>
      </c>
      <c r="E30" s="125">
        <v>0.2</v>
      </c>
    </row>
    <row r="31" spans="2:14" x14ac:dyDescent="0.25">
      <c r="B31" s="117" t="str">
        <f>$C$15&amp;"-"&amp;D31</f>
        <v>AGRESSIVO-CDB</v>
      </c>
      <c r="C31" s="84" t="s">
        <v>31</v>
      </c>
      <c r="D31" s="84" t="s">
        <v>40</v>
      </c>
      <c r="E31" s="118">
        <v>0.35</v>
      </c>
    </row>
    <row r="32" spans="2:14" x14ac:dyDescent="0.25">
      <c r="B32" s="117" t="str">
        <f>$C$15&amp;"-"&amp;D32</f>
        <v>AGRESSIVO-LCI</v>
      </c>
      <c r="C32" s="84" t="s">
        <v>31</v>
      </c>
      <c r="D32" s="84" t="s">
        <v>41</v>
      </c>
      <c r="E32" s="118">
        <v>0.3</v>
      </c>
    </row>
    <row r="33" spans="2:5" x14ac:dyDescent="0.25">
      <c r="B33" s="117" t="str">
        <f>$C$15&amp;"-"&amp;D33</f>
        <v>AGRESSIVO-LCA</v>
      </c>
      <c r="C33" s="84" t="s">
        <v>31</v>
      </c>
      <c r="D33" s="84" t="s">
        <v>42</v>
      </c>
      <c r="E33" s="118">
        <v>0.3</v>
      </c>
    </row>
    <row r="34" spans="2:5" ht="15.75" thickBot="1" x14ac:dyDescent="0.3">
      <c r="B34" s="119" t="str">
        <f>$C$15&amp;"-"&amp;D34</f>
        <v>AGRESSIVO-SELIC</v>
      </c>
      <c r="C34" s="120" t="s">
        <v>31</v>
      </c>
      <c r="D34" s="120" t="s">
        <v>43</v>
      </c>
      <c r="E34" s="121">
        <v>0.05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16</vt:i4>
      </vt:variant>
    </vt:vector>
  </HeadingPairs>
  <TitlesOfParts>
    <vt:vector size="19" baseType="lpstr">
      <vt:lpstr>Ferramenta de Renda Fixa</vt:lpstr>
      <vt:lpstr>Ferramenta</vt:lpstr>
      <vt:lpstr>Planilha de Apoio</vt:lpstr>
      <vt:lpstr>'Ferramenta de Renda Fixa'!Aporte</vt:lpstr>
      <vt:lpstr>Aporte</vt:lpstr>
      <vt:lpstr>'Ferramenta de Renda Fixa'!Dividendos_Mensais</vt:lpstr>
      <vt:lpstr>Dividendos_Mensais</vt:lpstr>
      <vt:lpstr>'Ferramenta de Renda Fixa'!Patrimonio</vt:lpstr>
      <vt:lpstr>Patrimonio</vt:lpstr>
      <vt:lpstr>'Ferramenta de Renda Fixa'!Rendimento_Carteira</vt:lpstr>
      <vt:lpstr>Rendimento_Carteira</vt:lpstr>
      <vt:lpstr>'Ferramenta de Renda Fixa'!Salario</vt:lpstr>
      <vt:lpstr>Salario</vt:lpstr>
      <vt:lpstr>'Ferramenta de Renda Fixa'!Sugestao_Investimento</vt:lpstr>
      <vt:lpstr>Sugestao_Investimento</vt:lpstr>
      <vt:lpstr>'Ferramenta de Renda Fixa'!Taxa_Rendimento_Anual</vt:lpstr>
      <vt:lpstr>Taxa_Rendimento_Anual</vt:lpstr>
      <vt:lpstr>'Ferramenta de Renda Fixa'!Tempo</vt:lpstr>
      <vt:lpstr>Tempo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2026-01-12T18:41:57Z</dcterms:created>
  <dcterms:modified xsi:type="dcterms:W3CDTF">2026-01-12T22:42:38Z</dcterms:modified>
</cp:coreProperties>
</file>